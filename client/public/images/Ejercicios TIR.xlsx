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Programación Web\proyecto final\client\public\images\"/>
    </mc:Choice>
  </mc:AlternateContent>
  <xr:revisionPtr revIDLastSave="0" documentId="13_ncr:1_{48E1F533-A684-4EBF-9CE2-D0167CDAE814}" xr6:coauthVersionLast="47" xr6:coauthVersionMax="47" xr10:uidLastSave="{00000000-0000-0000-0000-000000000000}"/>
  <bookViews>
    <workbookView xWindow="-108" yWindow="-108" windowWidth="23256" windowHeight="13896" xr2:uid="{E5A2EB96-8B3E-424E-A0F5-3326740C56B2}"/>
  </bookViews>
  <sheets>
    <sheet name="TIR mult" sheetId="1" r:id="rId1"/>
    <sheet name="TIR con exced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1" l="1"/>
  <c r="G97" i="1"/>
  <c r="F97" i="1"/>
  <c r="G96" i="1"/>
  <c r="F96" i="1"/>
  <c r="G95" i="1"/>
  <c r="F95" i="1"/>
  <c r="G94" i="1"/>
  <c r="G93" i="1"/>
  <c r="F93" i="1"/>
  <c r="G92" i="1"/>
  <c r="F92" i="1"/>
  <c r="G91" i="1"/>
  <c r="F91" i="1"/>
  <c r="G90" i="1"/>
  <c r="F90" i="1"/>
  <c r="G89" i="1"/>
  <c r="F89" i="1"/>
  <c r="G88" i="1"/>
  <c r="F88" i="1"/>
  <c r="F87" i="1"/>
  <c r="G87" i="1"/>
  <c r="F73" i="1"/>
  <c r="F72" i="1"/>
  <c r="F71" i="1"/>
  <c r="F70" i="1"/>
  <c r="F69" i="1"/>
  <c r="F68" i="1"/>
  <c r="F67" i="1"/>
  <c r="G67" i="1" s="1"/>
  <c r="G68" i="1"/>
  <c r="G69" i="1"/>
  <c r="G70" i="1"/>
  <c r="G71" i="1"/>
  <c r="G72" i="1"/>
  <c r="G73" i="1"/>
  <c r="H40" i="1"/>
  <c r="G40" i="1"/>
  <c r="E69" i="1"/>
  <c r="E70" i="1"/>
  <c r="E71" i="1"/>
  <c r="E72" i="1"/>
  <c r="E73" i="1"/>
  <c r="E68" i="1"/>
  <c r="G42" i="1"/>
  <c r="G12" i="1"/>
  <c r="H12" i="1" s="1"/>
  <c r="F12" i="1"/>
  <c r="F40" i="1"/>
  <c r="E41" i="1"/>
  <c r="F41" i="1" s="1"/>
  <c r="G19" i="1"/>
  <c r="H19" i="1" s="1"/>
  <c r="F13" i="1"/>
  <c r="F14" i="1"/>
  <c r="F15" i="1"/>
  <c r="F16" i="1"/>
  <c r="F17" i="1"/>
  <c r="F18" i="1"/>
  <c r="F19" i="1"/>
  <c r="I114" i="1"/>
  <c r="I117" i="1" s="1"/>
  <c r="D27" i="2"/>
  <c r="D26" i="2"/>
  <c r="D25" i="2"/>
  <c r="D20" i="2"/>
  <c r="D19" i="2"/>
  <c r="D21" i="2"/>
  <c r="E42" i="1" l="1"/>
  <c r="F42" i="1" s="1"/>
  <c r="E43" i="1"/>
  <c r="F43" i="1" l="1"/>
  <c r="E44" i="1"/>
  <c r="F44" i="1" l="1"/>
  <c r="E45" i="1"/>
  <c r="F45" i="1" l="1"/>
  <c r="E46" i="1"/>
  <c r="F46" i="1" l="1"/>
  <c r="E47" i="1"/>
  <c r="F47" i="1" l="1"/>
  <c r="E48" i="1"/>
  <c r="F48" i="1" l="1"/>
  <c r="E49" i="1"/>
  <c r="F49" i="1" l="1"/>
  <c r="E50" i="1"/>
  <c r="F50" i="1" s="1"/>
</calcChain>
</file>

<file path=xl/sharedStrings.xml><?xml version="1.0" encoding="utf-8"?>
<sst xmlns="http://schemas.openxmlformats.org/spreadsheetml/2006/main" count="68" uniqueCount="45">
  <si>
    <t>EJERCICIOS CON FLUJOS NO CONVENCIONALES</t>
  </si>
  <si>
    <t>TIR MÚLTIPLES</t>
  </si>
  <si>
    <t>Una empresa comercializadora de productos químicos para la industria del</t>
  </si>
  <si>
    <t>petroleo se ha visto afectada seriamente por la caida de demanda de sus</t>
  </si>
  <si>
    <t>principales productos de acuerdo con la siguiente tabla</t>
  </si>
  <si>
    <t>Año</t>
  </si>
  <si>
    <t>Ingreso neto en miles de $</t>
  </si>
  <si>
    <t>i%</t>
  </si>
  <si>
    <t>VPN</t>
  </si>
  <si>
    <t>TIR</t>
  </si>
  <si>
    <t>VPN'</t>
  </si>
  <si>
    <t>Un proyecto de inversión espera tener los siguientes flujos</t>
  </si>
  <si>
    <t>Determine la TIR del proyecto para establecer si le conviene o no hacer la inversión</t>
  </si>
  <si>
    <t>Si la TMAR es del 15%</t>
  </si>
  <si>
    <t>Una empresa lanzó al mercado un producto muy innovador para su tiempo y para posicionarlo</t>
  </si>
  <si>
    <t>invirtió una gran cantidad de dinero en publicidad, sin embargo las ventas no fueron las esperadas.</t>
  </si>
  <si>
    <t>5 años después, debido a que las condiciones de mercado cambiaron, las ventas mejoraron,</t>
  </si>
  <si>
    <t xml:space="preserve">tal como se muestra en la tabla siguiente. </t>
  </si>
  <si>
    <t>¿cuál será el rendimiento de la inversión al año 6?</t>
  </si>
  <si>
    <t xml:space="preserve">Debido a necesidades de ampliación de la producción, la planta debe hacer una nueva inversión </t>
  </si>
  <si>
    <t>en maquinaria y equipo al año 7 y crecer las ventas de acuerdo a las proyecciones</t>
  </si>
  <si>
    <t>que se muestran en la tabla</t>
  </si>
  <si>
    <t>Si el costo del dinero para la empresa es del 12%; ¿será rentable hacer la nueva inversión ?</t>
  </si>
  <si>
    <t>Una empresa manufacturera está evaluando modificar su planta para ser más competitiva.</t>
  </si>
  <si>
    <t>De acuerdo con el ingeniero encargado del proyecto, los flujos esperados para los siguientes 20 años</t>
  </si>
  <si>
    <t>se muestran en la siguiente tabla</t>
  </si>
  <si>
    <t>Determine: la tasa de retorno  anual (efectiva) y la tasa de rendimiento mensual (nominal)</t>
  </si>
  <si>
    <t>Inversión</t>
  </si>
  <si>
    <t>Ahorros</t>
  </si>
  <si>
    <t>CAPEX</t>
  </si>
  <si>
    <t>TMAR</t>
  </si>
  <si>
    <t>Proyecto A</t>
  </si>
  <si>
    <t>Requerimiento de capital</t>
  </si>
  <si>
    <t>Proyecto B</t>
  </si>
  <si>
    <t>¿En dónde obtengo el mejor rendimiento de mi CAPEX?</t>
  </si>
  <si>
    <t>Procedimiento</t>
  </si>
  <si>
    <t>Inversión en el proyecto</t>
  </si>
  <si>
    <t>Excedente del CAPEX</t>
  </si>
  <si>
    <t>Total</t>
  </si>
  <si>
    <t>%</t>
  </si>
  <si>
    <t>Rendimiento</t>
  </si>
  <si>
    <t>I%</t>
  </si>
  <si>
    <t>Flujos netos</t>
  </si>
  <si>
    <t>Tasa efectiva</t>
  </si>
  <si>
    <t>Tasa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</si>
</sst>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Q&quot;#,##0.00;[Red]\-&quot;Q&quot;#,##0.00"/>
    <numFmt numFmtId="165" formatCode="_-&quot;Q&quot;* #,##0.00_-;\-&quot;Q&quot;* #,##0.00_-;_-&quot;Q&quot;* &quot;-&quot;??_-;_-@_-"/>
    <numFmt numFmtId="166" formatCode="0.000%"/>
    <numFmt numFmtId="167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1" applyFont="1"/>
    <xf numFmtId="9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164" fontId="0" fillId="0" borderId="0" xfId="0" applyNumberFormat="1"/>
    <xf numFmtId="10" fontId="0" fillId="0" borderId="0" xfId="0" applyNumberFormat="1" applyAlignment="1">
      <alignment horizontal="center"/>
    </xf>
    <xf numFmtId="9" fontId="0" fillId="0" borderId="0" xfId="0" applyNumberFormat="1"/>
    <xf numFmtId="165" fontId="0" fillId="0" borderId="0" xfId="1" applyFont="1" applyAlignment="1">
      <alignment horizontal="center"/>
    </xf>
    <xf numFmtId="165" fontId="0" fillId="0" borderId="0" xfId="0" applyNumberFormat="1"/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2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6" fontId="0" fillId="0" borderId="0" xfId="0" applyNumberFormat="1"/>
    <xf numFmtId="167" fontId="0" fillId="0" borderId="0" xfId="0" applyNumberFormat="1"/>
    <xf numFmtId="10" fontId="0" fillId="0" borderId="0" xfId="2" applyNumberFormat="1" applyFont="1" applyFill="1" applyAlignment="1">
      <alignment horizontal="center"/>
    </xf>
    <xf numFmtId="10" fontId="3" fillId="0" borderId="0" xfId="2" applyNumberFormat="1" applyFont="1" applyFill="1" applyBorder="1" applyAlignment="1">
      <alignment horizontal="center"/>
    </xf>
    <xf numFmtId="166" fontId="0" fillId="0" borderId="0" xfId="2" applyNumberFormat="1" applyFont="1"/>
    <xf numFmtId="0" fontId="0" fillId="2" borderId="0" xfId="0" applyFill="1" applyAlignment="1">
      <alignment horizontal="center"/>
    </xf>
    <xf numFmtId="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"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6041-FF05-4AB6-8E13-9F639E458DE1}">
  <dimension ref="B2:K134"/>
  <sheetViews>
    <sheetView tabSelected="1" topLeftCell="A72" workbookViewId="0">
      <selection activeCell="H94" sqref="H94"/>
    </sheetView>
  </sheetViews>
  <sheetFormatPr defaultColWidth="11.5546875" defaultRowHeight="14.4" x14ac:dyDescent="0.3"/>
  <cols>
    <col min="2" max="2" width="11.44140625" style="1"/>
    <col min="4" max="4" width="12" bestFit="1" customWidth="1"/>
    <col min="8" max="8" width="14" customWidth="1"/>
  </cols>
  <sheetData>
    <row r="2" spans="2:8" x14ac:dyDescent="0.3">
      <c r="C2" s="2" t="s">
        <v>0</v>
      </c>
      <c r="D2" s="2"/>
      <c r="E2" s="2"/>
      <c r="F2" s="2"/>
    </row>
    <row r="3" spans="2:8" x14ac:dyDescent="0.3">
      <c r="C3" s="23" t="s">
        <v>1</v>
      </c>
      <c r="D3" s="23"/>
      <c r="E3" s="23"/>
      <c r="F3" s="23"/>
    </row>
    <row r="7" spans="2:8" x14ac:dyDescent="0.3">
      <c r="B7" s="1">
        <v>1</v>
      </c>
      <c r="C7" t="s">
        <v>2</v>
      </c>
    </row>
    <row r="8" spans="2:8" x14ac:dyDescent="0.3">
      <c r="C8" t="s">
        <v>3</v>
      </c>
    </row>
    <row r="9" spans="2:8" x14ac:dyDescent="0.3">
      <c r="C9" t="s">
        <v>4</v>
      </c>
    </row>
    <row r="11" spans="2:8" ht="28.8" x14ac:dyDescent="0.3">
      <c r="C11" s="3" t="s">
        <v>5</v>
      </c>
      <c r="D11" s="4" t="s">
        <v>6</v>
      </c>
      <c r="E11" s="3" t="s">
        <v>7</v>
      </c>
      <c r="F11" s="4" t="s">
        <v>8</v>
      </c>
      <c r="G11" s="3" t="s">
        <v>9</v>
      </c>
      <c r="H11" s="3" t="s">
        <v>10</v>
      </c>
    </row>
    <row r="12" spans="2:8" x14ac:dyDescent="0.3">
      <c r="C12" s="3">
        <v>2014</v>
      </c>
      <c r="D12" s="5">
        <v>3300</v>
      </c>
      <c r="E12" s="6">
        <v>0.02</v>
      </c>
      <c r="F12" s="7">
        <f>NPV(E12,$D$12:$D$19)</f>
        <v>96.685206648470952</v>
      </c>
      <c r="G12" s="8">
        <f>IRR(D12:D19)</f>
        <v>4.5265829369168786E-2</v>
      </c>
      <c r="H12" s="7">
        <f>NPV(G12,D12:D19)</f>
        <v>4.1330154607930158E-12</v>
      </c>
    </row>
    <row r="13" spans="2:8" x14ac:dyDescent="0.3">
      <c r="C13" s="3">
        <v>2015</v>
      </c>
      <c r="D13" s="5">
        <v>-1700</v>
      </c>
      <c r="E13" s="6">
        <v>0.05</v>
      </c>
      <c r="F13" s="7">
        <f t="shared" ref="F13:F19" si="0">NPV(E13,$D$12:$D$19)</f>
        <v>-14.556894515695019</v>
      </c>
      <c r="G13" s="17"/>
      <c r="H13" s="7"/>
    </row>
    <row r="14" spans="2:8" x14ac:dyDescent="0.3">
      <c r="C14" s="3">
        <v>2016</v>
      </c>
      <c r="D14" s="5">
        <v>-9100</v>
      </c>
      <c r="E14" s="6">
        <v>7.0000000000000007E-2</v>
      </c>
      <c r="F14" s="7">
        <f t="shared" si="0"/>
        <v>-65.535445725384832</v>
      </c>
      <c r="G14" s="18"/>
      <c r="H14" s="1"/>
    </row>
    <row r="15" spans="2:8" x14ac:dyDescent="0.3">
      <c r="C15" s="3">
        <v>2017</v>
      </c>
      <c r="D15" s="5">
        <v>7800</v>
      </c>
      <c r="E15" s="6">
        <v>0.1</v>
      </c>
      <c r="F15" s="7">
        <f t="shared" si="0"/>
        <v>-115.2498412230473</v>
      </c>
      <c r="G15" s="19"/>
      <c r="H15" s="7"/>
    </row>
    <row r="16" spans="2:8" x14ac:dyDescent="0.3">
      <c r="C16" s="3">
        <v>2018</v>
      </c>
      <c r="D16" s="5">
        <v>-2500</v>
      </c>
      <c r="E16" s="6">
        <v>0.15</v>
      </c>
      <c r="F16" s="7">
        <f t="shared" si="0"/>
        <v>-146.42808255896321</v>
      </c>
      <c r="H16" s="1"/>
    </row>
    <row r="17" spans="3:8" x14ac:dyDescent="0.3">
      <c r="C17" s="3">
        <v>2019</v>
      </c>
      <c r="D17" s="5">
        <v>3200</v>
      </c>
      <c r="E17" s="6">
        <v>0.2</v>
      </c>
      <c r="F17" s="7">
        <f t="shared" si="0"/>
        <v>-135.65883511469309</v>
      </c>
      <c r="G17" s="10"/>
      <c r="H17" s="7"/>
    </row>
    <row r="18" spans="3:8" x14ac:dyDescent="0.3">
      <c r="C18" s="3">
        <v>2020</v>
      </c>
      <c r="D18" s="5">
        <v>-1750</v>
      </c>
      <c r="E18" s="6">
        <v>0.25</v>
      </c>
      <c r="F18" s="7">
        <f t="shared" si="0"/>
        <v>-100.27724800000006</v>
      </c>
      <c r="G18" s="10"/>
      <c r="H18" s="9"/>
    </row>
    <row r="19" spans="3:8" x14ac:dyDescent="0.3">
      <c r="C19" s="3">
        <v>2021</v>
      </c>
      <c r="D19" s="5">
        <v>950</v>
      </c>
      <c r="E19" s="6">
        <v>0.4</v>
      </c>
      <c r="F19" s="7">
        <f t="shared" si="0"/>
        <v>62.38975118135054</v>
      </c>
      <c r="G19" s="8">
        <f>IRR(D12:D19,AVERAGE(E18:E19))</f>
        <v>0.34613706717522552</v>
      </c>
      <c r="H19" s="24">
        <f>NPV(G19,D12:D19)</f>
        <v>4.7759972957660016E-9</v>
      </c>
    </row>
    <row r="35" spans="2:8" x14ac:dyDescent="0.3">
      <c r="B35" s="1">
        <v>2</v>
      </c>
      <c r="C35" t="s">
        <v>11</v>
      </c>
    </row>
    <row r="36" spans="2:8" x14ac:dyDescent="0.3">
      <c r="C36" t="s">
        <v>12</v>
      </c>
    </row>
    <row r="37" spans="2:8" x14ac:dyDescent="0.3">
      <c r="C37" t="s">
        <v>13</v>
      </c>
    </row>
    <row r="39" spans="2:8" x14ac:dyDescent="0.3">
      <c r="C39" s="1" t="s">
        <v>5</v>
      </c>
      <c r="E39" s="1" t="s">
        <v>7</v>
      </c>
      <c r="F39" s="1" t="s">
        <v>8</v>
      </c>
      <c r="G39" s="1" t="s">
        <v>9</v>
      </c>
      <c r="H39" s="1" t="s">
        <v>10</v>
      </c>
    </row>
    <row r="40" spans="2:8" x14ac:dyDescent="0.3">
      <c r="C40" s="1">
        <v>0</v>
      </c>
      <c r="D40" s="5">
        <v>-2500</v>
      </c>
      <c r="E40" s="6">
        <v>0.02</v>
      </c>
      <c r="F40" s="7">
        <f>NPV(E40,$D$40:$D$50)</f>
        <v>1248.9272836681503</v>
      </c>
      <c r="G40" s="8">
        <f>IRR(D40:D50)</f>
        <v>8.1847904404596994E-2</v>
      </c>
      <c r="H40" s="24">
        <f>NPV(0.15,D41:D50)+D40</f>
        <v>-826.73530538507794</v>
      </c>
    </row>
    <row r="41" spans="2:8" x14ac:dyDescent="0.3">
      <c r="C41" s="1">
        <v>1</v>
      </c>
      <c r="D41" s="5">
        <v>1800</v>
      </c>
      <c r="E41" s="6">
        <f>E40+3%</f>
        <v>0.05</v>
      </c>
      <c r="F41" s="7">
        <f t="shared" ref="F41:F50" si="1">NPV(E41,$D$40:$D$50)</f>
        <v>546.76271043330848</v>
      </c>
    </row>
    <row r="42" spans="2:8" x14ac:dyDescent="0.3">
      <c r="C42" s="1">
        <v>2</v>
      </c>
      <c r="D42" s="5">
        <v>-2500</v>
      </c>
      <c r="E42" s="6">
        <f t="shared" ref="E42:E50" si="2">E41+3%</f>
        <v>0.08</v>
      </c>
      <c r="F42" s="7">
        <f t="shared" si="1"/>
        <v>27.181842108074584</v>
      </c>
      <c r="G42" s="10">
        <f>IRR(D40:D50,AVERAGE(E42:E43))</f>
        <v>8.1847904399946492E-2</v>
      </c>
      <c r="H42" s="7"/>
    </row>
    <row r="43" spans="2:8" x14ac:dyDescent="0.3">
      <c r="C43" s="1">
        <v>3</v>
      </c>
      <c r="D43" s="5">
        <v>700</v>
      </c>
      <c r="E43" s="6">
        <f t="shared" si="2"/>
        <v>0.11</v>
      </c>
      <c r="F43" s="7">
        <f t="shared" si="1"/>
        <v>-357.43894593295391</v>
      </c>
    </row>
    <row r="44" spans="2:8" x14ac:dyDescent="0.3">
      <c r="C44" s="1">
        <v>4</v>
      </c>
      <c r="D44" s="5">
        <v>1000</v>
      </c>
      <c r="E44" s="6">
        <f t="shared" si="2"/>
        <v>0.14000000000000001</v>
      </c>
      <c r="F44" s="7">
        <f t="shared" si="1"/>
        <v>-641.7912693365472</v>
      </c>
    </row>
    <row r="45" spans="2:8" x14ac:dyDescent="0.3">
      <c r="C45" s="1">
        <v>5</v>
      </c>
      <c r="D45" s="5">
        <v>-650</v>
      </c>
      <c r="E45" s="6">
        <f t="shared" si="2"/>
        <v>0.17</v>
      </c>
      <c r="F45" s="7">
        <f t="shared" si="1"/>
        <v>-851.2970773203192</v>
      </c>
    </row>
    <row r="46" spans="2:8" x14ac:dyDescent="0.3">
      <c r="C46" s="1">
        <v>6</v>
      </c>
      <c r="D46" s="5">
        <v>-1800</v>
      </c>
      <c r="E46" s="6">
        <f t="shared" si="2"/>
        <v>0.2</v>
      </c>
      <c r="F46" s="7">
        <f t="shared" si="1"/>
        <v>-1004.6934270050971</v>
      </c>
    </row>
    <row r="47" spans="2:8" x14ac:dyDescent="0.3">
      <c r="C47" s="1">
        <v>7</v>
      </c>
      <c r="D47" s="5">
        <v>2500</v>
      </c>
      <c r="E47" s="6">
        <f t="shared" si="2"/>
        <v>0.23</v>
      </c>
      <c r="F47" s="7">
        <f t="shared" si="1"/>
        <v>-1115.8673919855357</v>
      </c>
    </row>
    <row r="48" spans="2:8" x14ac:dyDescent="0.3">
      <c r="C48" s="1">
        <v>8</v>
      </c>
      <c r="D48" s="5">
        <v>2800</v>
      </c>
      <c r="E48" s="6">
        <f t="shared" si="2"/>
        <v>0.26</v>
      </c>
      <c r="F48" s="7">
        <f t="shared" si="1"/>
        <v>-1195.1663973102777</v>
      </c>
    </row>
    <row r="49" spans="2:6" x14ac:dyDescent="0.3">
      <c r="C49" s="1">
        <v>9</v>
      </c>
      <c r="D49" s="5">
        <v>2400</v>
      </c>
      <c r="E49" s="6">
        <f t="shared" si="2"/>
        <v>0.29000000000000004</v>
      </c>
      <c r="F49" s="7">
        <f t="shared" si="1"/>
        <v>-1250.3395347109315</v>
      </c>
    </row>
    <row r="50" spans="2:6" x14ac:dyDescent="0.3">
      <c r="C50" s="1">
        <v>10</v>
      </c>
      <c r="D50" s="5">
        <v>-1900</v>
      </c>
      <c r="E50" s="6">
        <f t="shared" si="2"/>
        <v>0.32000000000000006</v>
      </c>
      <c r="F50" s="7">
        <f t="shared" si="1"/>
        <v>-1287.2177895816019</v>
      </c>
    </row>
    <row r="60" spans="2:6" x14ac:dyDescent="0.3">
      <c r="B60" s="1">
        <v>3</v>
      </c>
      <c r="C60" t="s">
        <v>14</v>
      </c>
    </row>
    <row r="61" spans="2:6" x14ac:dyDescent="0.3">
      <c r="C61" t="s">
        <v>15</v>
      </c>
    </row>
    <row r="62" spans="2:6" x14ac:dyDescent="0.3">
      <c r="C62" t="s">
        <v>16</v>
      </c>
    </row>
    <row r="63" spans="2:6" x14ac:dyDescent="0.3">
      <c r="C63" t="s">
        <v>17</v>
      </c>
    </row>
    <row r="64" spans="2:6" x14ac:dyDescent="0.3">
      <c r="C64" t="s">
        <v>18</v>
      </c>
    </row>
    <row r="66" spans="2:7" x14ac:dyDescent="0.3">
      <c r="E66" t="s">
        <v>7</v>
      </c>
      <c r="F66" s="1" t="s">
        <v>9</v>
      </c>
      <c r="G66" s="1" t="s">
        <v>8</v>
      </c>
    </row>
    <row r="67" spans="2:7" x14ac:dyDescent="0.3">
      <c r="C67" s="1">
        <v>0</v>
      </c>
      <c r="D67" s="5">
        <v>-7000</v>
      </c>
      <c r="E67" s="11">
        <v>0.02</v>
      </c>
      <c r="F67" s="17">
        <f>IRR($D$67:$D$73,E67)</f>
        <v>5.8187836602516585E-2</v>
      </c>
      <c r="G67" s="9">
        <f>NPV(F67,$D$68:$D$73)+$D$67</f>
        <v>6.6393113229423761E-11</v>
      </c>
    </row>
    <row r="68" spans="2:7" x14ac:dyDescent="0.3">
      <c r="C68" s="1">
        <v>1</v>
      </c>
      <c r="D68" s="5">
        <v>2000</v>
      </c>
      <c r="E68" s="11">
        <f>E67+3%</f>
        <v>0.05</v>
      </c>
      <c r="F68" s="17">
        <f t="shared" ref="F68:F73" si="3">IRR($D$67:$D$73,E68)</f>
        <v>5.8187836602513476E-2</v>
      </c>
      <c r="G68" s="9">
        <f t="shared" ref="G68:G73" si="4">NPV(F68,$D$68:$D$73)+$D$67</f>
        <v>1.5734258340671659E-10</v>
      </c>
    </row>
    <row r="69" spans="2:7" x14ac:dyDescent="0.3">
      <c r="C69" s="1">
        <v>2</v>
      </c>
      <c r="D69" s="5">
        <v>0</v>
      </c>
      <c r="E69" s="11">
        <f t="shared" ref="E69:E73" si="5">E68+3%</f>
        <v>0.08</v>
      </c>
      <c r="F69" s="17">
        <f t="shared" si="3"/>
        <v>5.8187836602518805E-2</v>
      </c>
      <c r="G69" s="9">
        <f t="shared" si="4"/>
        <v>0</v>
      </c>
    </row>
    <row r="70" spans="2:7" x14ac:dyDescent="0.3">
      <c r="C70" s="1">
        <v>3</v>
      </c>
      <c r="D70" s="5">
        <v>0</v>
      </c>
      <c r="E70" s="11">
        <f t="shared" si="5"/>
        <v>0.11</v>
      </c>
      <c r="F70" s="17">
        <f t="shared" si="3"/>
        <v>5.8187836602631604E-2</v>
      </c>
      <c r="G70" s="9">
        <f t="shared" si="4"/>
        <v>-3.2241587177850306E-9</v>
      </c>
    </row>
    <row r="71" spans="2:7" x14ac:dyDescent="0.3">
      <c r="C71" s="1">
        <v>4</v>
      </c>
      <c r="D71" s="5">
        <v>0</v>
      </c>
      <c r="E71" s="11">
        <f t="shared" si="5"/>
        <v>0.14000000000000001</v>
      </c>
      <c r="F71" s="17">
        <f t="shared" si="3"/>
        <v>5.8187836602519027E-2</v>
      </c>
      <c r="G71" s="9">
        <f t="shared" si="4"/>
        <v>0</v>
      </c>
    </row>
    <row r="72" spans="2:7" x14ac:dyDescent="0.3">
      <c r="C72" s="1">
        <v>5</v>
      </c>
      <c r="D72" s="5">
        <v>3000</v>
      </c>
      <c r="E72" s="11">
        <f t="shared" si="5"/>
        <v>0.17</v>
      </c>
      <c r="F72" s="17">
        <f t="shared" si="3"/>
        <v>5.818783660253235E-2</v>
      </c>
      <c r="G72" s="9">
        <f t="shared" si="4"/>
        <v>-3.8289726944640279E-10</v>
      </c>
    </row>
    <row r="73" spans="2:7" x14ac:dyDescent="0.3">
      <c r="C73" s="1">
        <v>6</v>
      </c>
      <c r="D73" s="5">
        <v>4000</v>
      </c>
      <c r="E73" s="11">
        <f t="shared" si="5"/>
        <v>0.2</v>
      </c>
      <c r="F73" s="17">
        <f t="shared" si="3"/>
        <v>5.8187836604149501E-2</v>
      </c>
      <c r="G73" s="9">
        <f t="shared" si="4"/>
        <v>-4.6671630116179585E-8</v>
      </c>
    </row>
    <row r="80" spans="2:7" x14ac:dyDescent="0.3">
      <c r="B80" s="1">
        <v>4</v>
      </c>
      <c r="C80" t="s">
        <v>19</v>
      </c>
    </row>
    <row r="81" spans="3:9" x14ac:dyDescent="0.3">
      <c r="C81" t="s">
        <v>20</v>
      </c>
    </row>
    <row r="82" spans="3:9" x14ac:dyDescent="0.3">
      <c r="C82" t="s">
        <v>21</v>
      </c>
    </row>
    <row r="83" spans="3:9" x14ac:dyDescent="0.3">
      <c r="C83" t="s">
        <v>22</v>
      </c>
      <c r="F83" s="11"/>
    </row>
    <row r="84" spans="3:9" x14ac:dyDescent="0.3">
      <c r="F84" s="11"/>
    </row>
    <row r="86" spans="3:9" x14ac:dyDescent="0.3">
      <c r="E86" s="1" t="s">
        <v>41</v>
      </c>
      <c r="F86" s="1" t="s">
        <v>8</v>
      </c>
      <c r="G86" s="1" t="s">
        <v>9</v>
      </c>
    </row>
    <row r="87" spans="3:9" x14ac:dyDescent="0.3">
      <c r="C87" s="1">
        <v>0</v>
      </c>
      <c r="D87" s="5">
        <v>-7000</v>
      </c>
      <c r="E87" s="14">
        <v>0.05</v>
      </c>
      <c r="F87" s="7">
        <f>NPV(G87,$D$88:$D$97)+D87</f>
        <v>7.1286194724962115E-9</v>
      </c>
      <c r="G87" s="8">
        <f>IRR($D$87:$D$97,E87)</f>
        <v>0.20212156279810478</v>
      </c>
    </row>
    <row r="88" spans="3:9" x14ac:dyDescent="0.3">
      <c r="C88" s="1">
        <v>1</v>
      </c>
      <c r="D88" s="5">
        <v>2000</v>
      </c>
      <c r="E88" s="14">
        <v>7.0000000000000007E-2</v>
      </c>
      <c r="F88" s="7">
        <f t="shared" ref="F88:F97" si="6">NPV(G88,$D$88:$D$97)+D88</f>
        <v>9000.0000000001037</v>
      </c>
      <c r="G88" s="8">
        <f t="shared" ref="G88:G97" si="7">IRR($D$87:$D$97,E88)</f>
        <v>0.20212156279828908</v>
      </c>
    </row>
    <row r="89" spans="3:9" x14ac:dyDescent="0.3">
      <c r="C89" s="1">
        <v>2</v>
      </c>
      <c r="D89" s="5">
        <v>0</v>
      </c>
      <c r="E89" s="14">
        <v>0.1</v>
      </c>
      <c r="F89" s="7">
        <f t="shared" si="6"/>
        <v>7000.0000000000036</v>
      </c>
      <c r="G89" s="8">
        <f t="shared" si="7"/>
        <v>0.20212156279829174</v>
      </c>
      <c r="H89" s="9"/>
      <c r="I89" s="1"/>
    </row>
    <row r="90" spans="3:9" x14ac:dyDescent="0.3">
      <c r="C90" s="1">
        <v>3</v>
      </c>
      <c r="D90" s="5">
        <v>0</v>
      </c>
      <c r="E90" s="14">
        <v>0.15</v>
      </c>
      <c r="F90" s="7">
        <f t="shared" si="6"/>
        <v>7000.0000000000036</v>
      </c>
      <c r="G90" s="8">
        <f t="shared" si="7"/>
        <v>0.20212156279829174</v>
      </c>
    </row>
    <row r="91" spans="3:9" x14ac:dyDescent="0.3">
      <c r="C91" s="1">
        <v>4</v>
      </c>
      <c r="D91" s="5">
        <v>0</v>
      </c>
      <c r="E91" s="14">
        <v>0.2</v>
      </c>
      <c r="F91" s="7">
        <f t="shared" si="6"/>
        <v>7000.0000000000036</v>
      </c>
      <c r="G91" s="8">
        <f t="shared" si="7"/>
        <v>0.20212156279829174</v>
      </c>
      <c r="H91" s="9"/>
    </row>
    <row r="92" spans="3:9" x14ac:dyDescent="0.3">
      <c r="C92" s="1">
        <v>5</v>
      </c>
      <c r="D92" s="5">
        <v>3000</v>
      </c>
      <c r="E92" s="14">
        <v>0.25</v>
      </c>
      <c r="F92" s="7">
        <f t="shared" si="6"/>
        <v>9999.9999999999945</v>
      </c>
      <c r="G92" s="8">
        <f t="shared" si="7"/>
        <v>0.20212156279829196</v>
      </c>
    </row>
    <row r="93" spans="3:9" x14ac:dyDescent="0.3">
      <c r="C93" s="1">
        <v>6</v>
      </c>
      <c r="D93" s="5">
        <v>4000</v>
      </c>
      <c r="E93" s="14">
        <v>0.4</v>
      </c>
      <c r="F93" s="7">
        <f t="shared" si="6"/>
        <v>10999.999999977437</v>
      </c>
      <c r="G93" s="8">
        <f t="shared" si="7"/>
        <v>0.20212156279888394</v>
      </c>
    </row>
    <row r="94" spans="3:9" x14ac:dyDescent="0.3">
      <c r="C94" s="1">
        <v>7</v>
      </c>
      <c r="D94" s="5">
        <v>-9000</v>
      </c>
      <c r="E94" s="14">
        <v>0.5</v>
      </c>
      <c r="F94" s="7">
        <f>NPV(G94,$D$88:$D$97)+D94</f>
        <v>-2000.0000000000055</v>
      </c>
      <c r="G94" s="8">
        <f t="shared" si="7"/>
        <v>0.20212156279829196</v>
      </c>
    </row>
    <row r="95" spans="3:9" x14ac:dyDescent="0.3">
      <c r="C95" s="1">
        <v>8</v>
      </c>
      <c r="D95" s="5">
        <v>8000</v>
      </c>
      <c r="E95" s="14">
        <v>0.7</v>
      </c>
      <c r="F95" s="7">
        <f t="shared" si="6"/>
        <v>14999.999999987118</v>
      </c>
      <c r="G95" s="8">
        <f t="shared" si="7"/>
        <v>0.20212156279862992</v>
      </c>
    </row>
    <row r="96" spans="3:9" x14ac:dyDescent="0.3">
      <c r="C96" s="1">
        <v>9</v>
      </c>
      <c r="D96" s="5">
        <v>9000</v>
      </c>
      <c r="E96" s="14">
        <v>0.8</v>
      </c>
      <c r="F96" s="7">
        <f t="shared" si="6"/>
        <v>16000.000000000004</v>
      </c>
      <c r="G96" s="8">
        <f t="shared" si="7"/>
        <v>0.20212156279829174</v>
      </c>
    </row>
    <row r="97" spans="2:7" x14ac:dyDescent="0.3">
      <c r="C97" s="1">
        <v>10</v>
      </c>
      <c r="D97" s="5">
        <v>11000</v>
      </c>
      <c r="E97" s="14">
        <v>0.9</v>
      </c>
      <c r="F97" s="7">
        <f t="shared" si="6"/>
        <v>17999.999999999985</v>
      </c>
      <c r="G97" s="8">
        <f t="shared" si="7"/>
        <v>0.20212156279829219</v>
      </c>
    </row>
    <row r="106" spans="2:7" x14ac:dyDescent="0.3">
      <c r="B106" s="1">
        <v>5</v>
      </c>
      <c r="C106" t="s">
        <v>23</v>
      </c>
    </row>
    <row r="107" spans="2:7" x14ac:dyDescent="0.3">
      <c r="C107" t="s">
        <v>24</v>
      </c>
    </row>
    <row r="108" spans="2:7" x14ac:dyDescent="0.3">
      <c r="C108" t="s">
        <v>25</v>
      </c>
    </row>
    <row r="109" spans="2:7" x14ac:dyDescent="0.3">
      <c r="C109" t="s">
        <v>26</v>
      </c>
    </row>
    <row r="113" spans="3:11" x14ac:dyDescent="0.3">
      <c r="D113" t="s">
        <v>27</v>
      </c>
      <c r="E113" s="1" t="s">
        <v>28</v>
      </c>
      <c r="F113" t="s">
        <v>42</v>
      </c>
      <c r="G113" s="1" t="s">
        <v>9</v>
      </c>
    </row>
    <row r="114" spans="3:11" x14ac:dyDescent="0.3">
      <c r="C114" s="1">
        <v>0</v>
      </c>
      <c r="D114" s="5">
        <v>-450</v>
      </c>
      <c r="E114" s="5">
        <v>0</v>
      </c>
      <c r="F114" s="5"/>
      <c r="G114" s="10"/>
      <c r="H114" t="s">
        <v>43</v>
      </c>
      <c r="I114" s="22" t="e">
        <f>IRR(F114:F134,0.05)</f>
        <v>#NUM!</v>
      </c>
      <c r="J114" s="16"/>
      <c r="K114" s="16"/>
    </row>
    <row r="115" spans="3:11" x14ac:dyDescent="0.3">
      <c r="C115" s="1">
        <v>1</v>
      </c>
      <c r="D115" s="5">
        <v>-60</v>
      </c>
      <c r="E115" s="5">
        <v>0</v>
      </c>
      <c r="F115" s="5"/>
    </row>
    <row r="116" spans="3:11" x14ac:dyDescent="0.3">
      <c r="C116" s="1">
        <v>2</v>
      </c>
      <c r="D116" s="5">
        <v>-50</v>
      </c>
      <c r="E116" s="5">
        <v>10</v>
      </c>
      <c r="F116" s="5"/>
    </row>
    <row r="117" spans="3:11" x14ac:dyDescent="0.3">
      <c r="C117" s="1">
        <v>3</v>
      </c>
      <c r="D117" s="5">
        <v>-50</v>
      </c>
      <c r="E117" s="5">
        <v>20</v>
      </c>
      <c r="F117" s="5"/>
      <c r="G117" s="16"/>
      <c r="H117" t="s">
        <v>44</v>
      </c>
      <c r="I117" s="22" t="e">
        <f>NOMINAL(I114,12)</f>
        <v>#NUM!</v>
      </c>
      <c r="J117" s="8"/>
    </row>
    <row r="118" spans="3:11" x14ac:dyDescent="0.3">
      <c r="C118" s="1">
        <v>4</v>
      </c>
      <c r="D118" s="5">
        <v>-20</v>
      </c>
      <c r="E118" s="5">
        <v>30</v>
      </c>
      <c r="F118" s="5"/>
    </row>
    <row r="119" spans="3:11" x14ac:dyDescent="0.3">
      <c r="C119" s="1">
        <v>5</v>
      </c>
      <c r="D119" s="5">
        <v>-10</v>
      </c>
      <c r="E119" s="5">
        <v>40</v>
      </c>
      <c r="F119" s="5"/>
    </row>
    <row r="120" spans="3:11" x14ac:dyDescent="0.3">
      <c r="C120" s="1">
        <v>6</v>
      </c>
      <c r="D120" s="12"/>
      <c r="E120" s="5">
        <v>60</v>
      </c>
      <c r="F120" s="5"/>
    </row>
    <row r="121" spans="3:11" x14ac:dyDescent="0.3">
      <c r="C121" s="1">
        <v>7</v>
      </c>
      <c r="D121" s="12"/>
      <c r="E121" s="5">
        <v>60</v>
      </c>
      <c r="F121" s="5"/>
    </row>
    <row r="122" spans="3:11" x14ac:dyDescent="0.3">
      <c r="C122" s="1">
        <v>8</v>
      </c>
      <c r="D122" s="12"/>
      <c r="E122" s="5">
        <v>60</v>
      </c>
      <c r="F122" s="5"/>
    </row>
    <row r="123" spans="3:11" x14ac:dyDescent="0.3">
      <c r="C123" s="1">
        <v>9</v>
      </c>
      <c r="D123" s="12"/>
      <c r="E123" s="5">
        <v>60</v>
      </c>
      <c r="F123" s="5"/>
    </row>
    <row r="124" spans="3:11" x14ac:dyDescent="0.3">
      <c r="C124" s="1">
        <v>10</v>
      </c>
      <c r="D124" s="12"/>
      <c r="E124" s="5">
        <v>60</v>
      </c>
      <c r="F124" s="5"/>
    </row>
    <row r="125" spans="3:11" x14ac:dyDescent="0.3">
      <c r="C125" s="1">
        <v>11</v>
      </c>
      <c r="D125" s="12"/>
      <c r="E125" s="5">
        <v>60</v>
      </c>
      <c r="F125" s="5"/>
    </row>
    <row r="126" spans="3:11" x14ac:dyDescent="0.3">
      <c r="C126" s="1">
        <v>12</v>
      </c>
      <c r="D126" s="12"/>
      <c r="E126" s="5">
        <v>60</v>
      </c>
      <c r="F126" s="5"/>
    </row>
    <row r="127" spans="3:11" x14ac:dyDescent="0.3">
      <c r="C127" s="1">
        <v>13</v>
      </c>
      <c r="D127" s="12"/>
      <c r="E127" s="5">
        <v>60</v>
      </c>
      <c r="F127" s="5"/>
    </row>
    <row r="128" spans="3:11" x14ac:dyDescent="0.3">
      <c r="C128" s="1">
        <v>14</v>
      </c>
      <c r="D128" s="12"/>
      <c r="E128" s="5">
        <v>60</v>
      </c>
      <c r="F128" s="5"/>
    </row>
    <row r="129" spans="3:6" x14ac:dyDescent="0.3">
      <c r="C129" s="1">
        <v>15</v>
      </c>
      <c r="D129" s="12"/>
      <c r="E129" s="5">
        <v>60</v>
      </c>
      <c r="F129" s="5"/>
    </row>
    <row r="130" spans="3:6" x14ac:dyDescent="0.3">
      <c r="C130" s="1">
        <v>16</v>
      </c>
      <c r="D130" s="12"/>
      <c r="E130" s="5">
        <v>60</v>
      </c>
      <c r="F130" s="5"/>
    </row>
    <row r="131" spans="3:6" x14ac:dyDescent="0.3">
      <c r="C131" s="1">
        <v>17</v>
      </c>
      <c r="D131" s="12"/>
      <c r="E131" s="5">
        <v>60</v>
      </c>
      <c r="F131" s="5"/>
    </row>
    <row r="132" spans="3:6" x14ac:dyDescent="0.3">
      <c r="C132" s="1">
        <v>18</v>
      </c>
      <c r="D132" s="12"/>
      <c r="E132" s="5">
        <v>60</v>
      </c>
      <c r="F132" s="5"/>
    </row>
    <row r="133" spans="3:6" x14ac:dyDescent="0.3">
      <c r="C133" s="1">
        <v>19</v>
      </c>
      <c r="D133" s="12"/>
      <c r="E133" s="5">
        <v>60</v>
      </c>
      <c r="F133" s="5"/>
    </row>
    <row r="134" spans="3:6" x14ac:dyDescent="0.3">
      <c r="C134" s="1">
        <v>20</v>
      </c>
      <c r="D134" s="12"/>
      <c r="E134" s="5">
        <v>60</v>
      </c>
      <c r="F134" s="5"/>
    </row>
  </sheetData>
  <mergeCells count="1">
    <mergeCell ref="C3:F3"/>
  </mergeCells>
  <conditionalFormatting sqref="D12:D19">
    <cfRule type="cellIs" dxfId="5" priority="4" operator="lessThan">
      <formula>0</formula>
    </cfRule>
  </conditionalFormatting>
  <conditionalFormatting sqref="D40:D50">
    <cfRule type="cellIs" dxfId="4" priority="7" operator="lessThan">
      <formula>0</formula>
    </cfRule>
  </conditionalFormatting>
  <conditionalFormatting sqref="D67:D73">
    <cfRule type="cellIs" dxfId="3" priority="6" operator="lessThan">
      <formula>0</formula>
    </cfRule>
  </conditionalFormatting>
  <conditionalFormatting sqref="D87:D97">
    <cfRule type="cellIs" dxfId="2" priority="5" operator="lessThan">
      <formula>0</formula>
    </cfRule>
  </conditionalFormatting>
  <conditionalFormatting sqref="D114:D119">
    <cfRule type="cellIs" dxfId="1" priority="3" operator="lessThan">
      <formula>0</formula>
    </cfRule>
  </conditionalFormatting>
  <conditionalFormatting sqref="E114:F13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EAD8-D557-4395-BCC2-7ED9755AE089}">
  <dimension ref="B2:G27"/>
  <sheetViews>
    <sheetView workbookViewId="0">
      <selection activeCell="I19" sqref="I19"/>
    </sheetView>
  </sheetViews>
  <sheetFormatPr defaultColWidth="11.5546875" defaultRowHeight="14.4" x14ac:dyDescent="0.3"/>
  <cols>
    <col min="2" max="2" width="25.5546875" customWidth="1"/>
    <col min="4" max="4" width="13" bestFit="1" customWidth="1"/>
    <col min="7" max="7" width="12.5546875" bestFit="1" customWidth="1"/>
  </cols>
  <sheetData>
    <row r="2" spans="2:4" x14ac:dyDescent="0.3">
      <c r="B2" t="s">
        <v>34</v>
      </c>
    </row>
    <row r="4" spans="2:4" x14ac:dyDescent="0.3">
      <c r="B4" t="s">
        <v>29</v>
      </c>
      <c r="D4" s="5">
        <v>100000</v>
      </c>
    </row>
    <row r="5" spans="2:4" x14ac:dyDescent="0.3">
      <c r="B5" t="s">
        <v>30</v>
      </c>
      <c r="D5" s="11">
        <v>0.18</v>
      </c>
    </row>
    <row r="7" spans="2:4" x14ac:dyDescent="0.3">
      <c r="B7" t="s">
        <v>31</v>
      </c>
    </row>
    <row r="8" spans="2:4" x14ac:dyDescent="0.3">
      <c r="B8" t="s">
        <v>32</v>
      </c>
      <c r="D8" s="5">
        <v>40000</v>
      </c>
    </row>
    <row r="9" spans="2:4" x14ac:dyDescent="0.3">
      <c r="B9" t="s">
        <v>9</v>
      </c>
      <c r="D9" s="11">
        <v>0.3</v>
      </c>
    </row>
    <row r="12" spans="2:4" x14ac:dyDescent="0.3">
      <c r="B12" t="s">
        <v>33</v>
      </c>
    </row>
    <row r="13" spans="2:4" x14ac:dyDescent="0.3">
      <c r="B13" t="s">
        <v>32</v>
      </c>
      <c r="D13" s="5">
        <v>90000</v>
      </c>
    </row>
    <row r="14" spans="2:4" x14ac:dyDescent="0.3">
      <c r="B14" t="s">
        <v>9</v>
      </c>
      <c r="D14" s="8">
        <v>0.27500000000000002</v>
      </c>
    </row>
    <row r="17" spans="2:7" ht="18" x14ac:dyDescent="0.35">
      <c r="B17" s="15" t="s">
        <v>35</v>
      </c>
    </row>
    <row r="18" spans="2:7" x14ac:dyDescent="0.3">
      <c r="B18" t="s">
        <v>31</v>
      </c>
      <c r="E18" s="1" t="s">
        <v>39</v>
      </c>
      <c r="F18" s="1" t="s">
        <v>9</v>
      </c>
      <c r="G18" t="s">
        <v>40</v>
      </c>
    </row>
    <row r="19" spans="2:7" x14ac:dyDescent="0.3">
      <c r="B19" t="s">
        <v>36</v>
      </c>
      <c r="D19" s="13">
        <f>D8</f>
        <v>40000</v>
      </c>
      <c r="E19" s="1"/>
      <c r="F19" s="14"/>
      <c r="G19" s="1"/>
    </row>
    <row r="20" spans="2:7" x14ac:dyDescent="0.3">
      <c r="B20" t="s">
        <v>37</v>
      </c>
      <c r="D20" s="13">
        <f>D4-D8</f>
        <v>60000</v>
      </c>
      <c r="E20" s="1"/>
      <c r="F20" s="14"/>
      <c r="G20" s="1"/>
    </row>
    <row r="21" spans="2:7" x14ac:dyDescent="0.3">
      <c r="B21" t="s">
        <v>38</v>
      </c>
      <c r="D21" s="13">
        <f>D4</f>
        <v>100000</v>
      </c>
      <c r="G21" s="20"/>
    </row>
    <row r="24" spans="2:7" x14ac:dyDescent="0.3">
      <c r="B24" t="s">
        <v>33</v>
      </c>
      <c r="E24" s="1" t="s">
        <v>39</v>
      </c>
      <c r="F24" s="1" t="s">
        <v>9</v>
      </c>
      <c r="G24" t="s">
        <v>40</v>
      </c>
    </row>
    <row r="25" spans="2:7" x14ac:dyDescent="0.3">
      <c r="B25" t="s">
        <v>36</v>
      </c>
      <c r="D25" s="13">
        <f>D13</f>
        <v>90000</v>
      </c>
      <c r="E25" s="1"/>
      <c r="F25" s="10"/>
      <c r="G25" s="1"/>
    </row>
    <row r="26" spans="2:7" x14ac:dyDescent="0.3">
      <c r="B26" t="s">
        <v>37</v>
      </c>
      <c r="D26" s="13">
        <f>D4-D25</f>
        <v>10000</v>
      </c>
      <c r="E26" s="1"/>
      <c r="F26" s="14"/>
      <c r="G26" s="1"/>
    </row>
    <row r="27" spans="2:7" x14ac:dyDescent="0.3">
      <c r="B27" t="s">
        <v>38</v>
      </c>
      <c r="D27" s="13">
        <f>SUM(D25:D26)</f>
        <v>100000</v>
      </c>
      <c r="G2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TIR mult</vt:lpstr>
      <vt:lpstr>TIR con excedentes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</dc:creator>
  <cp:lastModifiedBy>DANIEL ALBERTO DIAZ PEREZ</cp:lastModifiedBy>
  <dcterms:created xsi:type="dcterms:W3CDTF">2023-10-19T17:17:47Z</dcterms:created>
  <dcterms:modified xsi:type="dcterms:W3CDTF">2025-09-22T23:42:07Z</dcterms:modified>
</cp:coreProperties>
</file>